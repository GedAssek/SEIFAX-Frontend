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NA Gédéon\Downloads\"/>
    </mc:Choice>
  </mc:AlternateContent>
  <xr:revisionPtr revIDLastSave="0" documentId="8_{D3135D57-67AA-4B4F-BC02-B7813D774352}" xr6:coauthVersionLast="47" xr6:coauthVersionMax="47" xr10:uidLastSave="{00000000-0000-0000-0000-000000000000}"/>
  <bookViews>
    <workbookView xWindow="-120" yWindow="-120" windowWidth="20730" windowHeight="11040" xr2:uid="{96DDADE7-F792-40F1-8777-94A4EC321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N49" i="1"/>
  <c r="O49" i="1" s="1"/>
  <c r="P49" i="1" s="1"/>
  <c r="N48" i="1"/>
  <c r="O48" i="1" s="1"/>
  <c r="P48" i="1" s="1"/>
  <c r="N46" i="1"/>
  <c r="O46" i="1" s="1"/>
  <c r="P46" i="1" s="1"/>
  <c r="N45" i="1"/>
  <c r="O45" i="1" s="1"/>
  <c r="P45" i="1" s="1"/>
  <c r="N44" i="1"/>
  <c r="O44" i="1" s="1"/>
  <c r="P44" i="1" s="1"/>
  <c r="N43" i="1"/>
  <c r="O43" i="1" s="1"/>
  <c r="P43" i="1" s="1"/>
  <c r="N42" i="1"/>
  <c r="O42" i="1" s="1"/>
  <c r="P42" i="1" s="1"/>
  <c r="N41" i="1"/>
  <c r="O41" i="1" s="1"/>
  <c r="P41" i="1" s="1"/>
  <c r="N40" i="1"/>
  <c r="O40" i="1" s="1"/>
  <c r="P40" i="1" s="1"/>
  <c r="N39" i="1"/>
  <c r="O39" i="1" s="1"/>
  <c r="P39" i="1" s="1"/>
  <c r="N38" i="1"/>
  <c r="O38" i="1" s="1"/>
  <c r="P38" i="1" s="1"/>
  <c r="N37" i="1"/>
  <c r="O37" i="1" s="1"/>
  <c r="P37" i="1" s="1"/>
  <c r="N36" i="1"/>
  <c r="O36" i="1" s="1"/>
  <c r="P36" i="1" s="1"/>
  <c r="N35" i="1"/>
  <c r="O35" i="1" s="1"/>
  <c r="P35" i="1" s="1"/>
  <c r="N34" i="1"/>
  <c r="O34" i="1" s="1"/>
  <c r="P34" i="1" s="1"/>
  <c r="N33" i="1"/>
  <c r="O33" i="1" s="1"/>
  <c r="P33" i="1" s="1"/>
  <c r="N32" i="1"/>
  <c r="O32" i="1" s="1"/>
  <c r="P32" i="1" s="1"/>
  <c r="N31" i="1"/>
  <c r="O31" i="1" s="1"/>
  <c r="P31" i="1" s="1"/>
  <c r="N30" i="1"/>
  <c r="O30" i="1" s="1"/>
  <c r="P30" i="1" s="1"/>
  <c r="N29" i="1"/>
  <c r="O29" i="1" s="1"/>
  <c r="P29" i="1" s="1"/>
  <c r="N28" i="1"/>
  <c r="O28" i="1" s="1"/>
  <c r="P28" i="1" s="1"/>
  <c r="N27" i="1"/>
  <c r="O27" i="1" s="1"/>
  <c r="P27" i="1" s="1"/>
  <c r="N26" i="1"/>
  <c r="O26" i="1" s="1"/>
  <c r="P26" i="1" s="1"/>
  <c r="N25" i="1"/>
  <c r="O25" i="1" s="1"/>
  <c r="P25" i="1" s="1"/>
  <c r="N24" i="1"/>
  <c r="O24" i="1" s="1"/>
  <c r="P24" i="1" s="1"/>
  <c r="N23" i="1"/>
  <c r="O23" i="1" s="1"/>
  <c r="P23" i="1" s="1"/>
  <c r="N22" i="1"/>
  <c r="O22" i="1" s="1"/>
  <c r="P22" i="1" s="1"/>
  <c r="N21" i="1"/>
  <c r="O21" i="1" s="1"/>
  <c r="P21" i="1" s="1"/>
  <c r="N20" i="1"/>
  <c r="O20" i="1" s="1"/>
  <c r="P20" i="1" s="1"/>
  <c r="N19" i="1"/>
  <c r="O19" i="1" s="1"/>
  <c r="P19" i="1" s="1"/>
  <c r="N18" i="1"/>
  <c r="O18" i="1" s="1"/>
  <c r="P18" i="1" s="1"/>
  <c r="N16" i="1"/>
  <c r="O16" i="1" s="1"/>
  <c r="P16" i="1" s="1"/>
  <c r="N15" i="1"/>
  <c r="O15" i="1" s="1"/>
  <c r="N13" i="1"/>
  <c r="O13" i="1" s="1"/>
  <c r="P13" i="1" s="1"/>
  <c r="N12" i="1"/>
  <c r="O12" i="1" s="1"/>
  <c r="P12" i="1" s="1"/>
  <c r="N11" i="1"/>
  <c r="O11" i="1" s="1"/>
  <c r="P11" i="1" s="1"/>
  <c r="N10" i="1"/>
  <c r="O10" i="1" s="1"/>
  <c r="P10" i="1" s="1"/>
  <c r="N9" i="1"/>
  <c r="O9" i="1" s="1"/>
  <c r="P9" i="1" s="1"/>
  <c r="N8" i="1"/>
  <c r="O8" i="1" s="1"/>
  <c r="P8" i="1" s="1"/>
  <c r="N7" i="1"/>
  <c r="P15" i="1" l="1"/>
  <c r="Q15" i="1"/>
  <c r="P7" i="1"/>
  <c r="P50" i="1" s="1"/>
  <c r="O50" i="1"/>
</calcChain>
</file>

<file path=xl/sharedStrings.xml><?xml version="1.0" encoding="utf-8"?>
<sst xmlns="http://schemas.openxmlformats.org/spreadsheetml/2006/main" count="66" uniqueCount="58">
  <si>
    <t>Matières</t>
  </si>
  <si>
    <t>Interrogation</t>
  </si>
  <si>
    <t>Composition</t>
  </si>
  <si>
    <t>Examen</t>
  </si>
  <si>
    <t>TP</t>
  </si>
  <si>
    <t>Coef total</t>
  </si>
  <si>
    <t>Note finale</t>
  </si>
  <si>
    <t>Statut</t>
  </si>
  <si>
    <t>Statut Groupe</t>
  </si>
  <si>
    <t>Liens des copies</t>
  </si>
  <si>
    <t>Coef</t>
  </si>
  <si>
    <t>Notes</t>
  </si>
  <si>
    <t>Matères Principales Générales</t>
  </si>
  <si>
    <t>Electricité générale</t>
  </si>
  <si>
    <t>Néant</t>
  </si>
  <si>
    <t>Circuits électriques</t>
  </si>
  <si>
    <t>Electronique Fond</t>
  </si>
  <si>
    <t>Electronique Num</t>
  </si>
  <si>
    <t>Algo et Prog C</t>
  </si>
  <si>
    <t>Techno, Mat. Et Comp.</t>
  </si>
  <si>
    <t>App de Mes et Outil électronic</t>
  </si>
  <si>
    <t>Matières Principales Générales(Groupe Anglais)</t>
  </si>
  <si>
    <t>Anglais général</t>
  </si>
  <si>
    <t>Anglais technique et prof</t>
  </si>
  <si>
    <t>Matières Secondaires Professionnelles</t>
  </si>
  <si>
    <t>AOP</t>
  </si>
  <si>
    <t>Machine électrique</t>
  </si>
  <si>
    <t>Electro de puissance</t>
  </si>
  <si>
    <t>Automatique</t>
  </si>
  <si>
    <t>Architec et config PC</t>
  </si>
  <si>
    <t>Bureautique</t>
  </si>
  <si>
    <t>Organisations et normes</t>
  </si>
  <si>
    <t>Circulation aérienne</t>
  </si>
  <si>
    <t>Aérotechnique</t>
  </si>
  <si>
    <t>Météorologie</t>
  </si>
  <si>
    <t>Sécurité incendie</t>
  </si>
  <si>
    <t>Com et réseaux ATM</t>
  </si>
  <si>
    <t>Navigation CNS/ATM</t>
  </si>
  <si>
    <t>Surveillance</t>
  </si>
  <si>
    <t>Secourisme</t>
  </si>
  <si>
    <t>Intro aux réseaux</t>
  </si>
  <si>
    <t>Transmission de données</t>
  </si>
  <si>
    <t>Reseaux nationaux</t>
  </si>
  <si>
    <t>Résaux internationaux</t>
  </si>
  <si>
    <t>Réseaux mondiaux</t>
  </si>
  <si>
    <t>Les protocoles</t>
  </si>
  <si>
    <t>Commutateurs de messages</t>
  </si>
  <si>
    <t>Sys de gest de l'info aéro</t>
  </si>
  <si>
    <t>Traitement des don. Surveill</t>
  </si>
  <si>
    <t>App de Mes  Outil électricien..</t>
  </si>
  <si>
    <t>Transport d'energ electrique</t>
  </si>
  <si>
    <t>Transport de données</t>
  </si>
  <si>
    <t>Sys de prod et gest. Énergie</t>
  </si>
  <si>
    <t>Balisage</t>
  </si>
  <si>
    <t>Matières Secondaires Générales</t>
  </si>
  <si>
    <t>Education Physique</t>
  </si>
  <si>
    <t>Assiduité</t>
  </si>
  <si>
    <t>MOYENNE 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</si>
</sst>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3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0.39994506668294322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1454817346722"/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0.39994506668294322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1454817346722"/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E9F4-F0A4-460D-B379-682BBD50DD78}">
  <dimension ref="E4:R50"/>
  <sheetViews>
    <sheetView tabSelected="1" topLeftCell="D1" workbookViewId="0">
      <selection activeCell="L26" sqref="L26"/>
    </sheetView>
  </sheetViews>
  <sheetFormatPr baseColWidth="10" defaultRowHeight="15" x14ac:dyDescent="0.25"/>
  <cols>
    <col min="5" max="5" width="38.28515625" bestFit="1" customWidth="1"/>
    <col min="14" max="14" width="15.5703125" bestFit="1" customWidth="1"/>
    <col min="15" max="15" width="18.7109375" bestFit="1" customWidth="1"/>
    <col min="16" max="16" width="15" bestFit="1" customWidth="1"/>
    <col min="17" max="17" width="22.42578125" bestFit="1" customWidth="1"/>
    <col min="18" max="18" width="25" bestFit="1" customWidth="1"/>
  </cols>
  <sheetData>
    <row r="4" spans="5:18" ht="22.5" x14ac:dyDescent="0.3">
      <c r="E4" s="1" t="s">
        <v>0</v>
      </c>
      <c r="F4" s="2" t="s">
        <v>1</v>
      </c>
      <c r="G4" s="2"/>
      <c r="H4" s="2" t="s">
        <v>2</v>
      </c>
      <c r="I4" s="2"/>
      <c r="J4" s="2" t="s">
        <v>3</v>
      </c>
      <c r="K4" s="2"/>
      <c r="L4" s="2" t="s">
        <v>4</v>
      </c>
      <c r="M4" s="2"/>
      <c r="N4" s="3" t="s">
        <v>5</v>
      </c>
      <c r="O4" s="1" t="s">
        <v>6</v>
      </c>
      <c r="P4" s="4" t="s">
        <v>7</v>
      </c>
      <c r="Q4" s="1" t="s">
        <v>8</v>
      </c>
      <c r="R4" s="3" t="s">
        <v>9</v>
      </c>
    </row>
    <row r="5" spans="5:18" ht="20.25" x14ac:dyDescent="0.3">
      <c r="E5" s="1"/>
      <c r="F5" s="5" t="s">
        <v>10</v>
      </c>
      <c r="G5" s="5" t="s">
        <v>11</v>
      </c>
      <c r="H5" s="5" t="s">
        <v>10</v>
      </c>
      <c r="I5" s="5" t="s">
        <v>11</v>
      </c>
      <c r="J5" s="5" t="s">
        <v>10</v>
      </c>
      <c r="K5" s="5" t="s">
        <v>11</v>
      </c>
      <c r="L5" s="5" t="s">
        <v>10</v>
      </c>
      <c r="M5" s="5" t="s">
        <v>11</v>
      </c>
      <c r="N5" s="6"/>
      <c r="O5" s="1"/>
      <c r="P5" s="7"/>
      <c r="Q5" s="1"/>
      <c r="R5" s="8"/>
    </row>
    <row r="6" spans="5:18" ht="20.25" x14ac:dyDescent="0.3">
      <c r="E6" s="9" t="s">
        <v>12</v>
      </c>
      <c r="F6" s="10"/>
      <c r="G6" s="10"/>
      <c r="H6" s="10"/>
      <c r="I6" s="10"/>
      <c r="J6" s="10"/>
      <c r="K6" s="10"/>
      <c r="L6" s="10"/>
      <c r="M6" s="10"/>
      <c r="N6" s="11"/>
      <c r="O6" s="11"/>
      <c r="P6" s="12"/>
      <c r="Q6" s="12"/>
      <c r="R6" s="13"/>
    </row>
    <row r="7" spans="5:18" ht="20.25" x14ac:dyDescent="0.3">
      <c r="E7" s="5" t="s">
        <v>13</v>
      </c>
      <c r="F7" s="5"/>
      <c r="G7" s="5"/>
      <c r="H7" s="5">
        <v>1</v>
      </c>
      <c r="I7" s="5"/>
      <c r="J7" s="5">
        <v>2</v>
      </c>
      <c r="K7" s="5"/>
      <c r="L7" s="5"/>
      <c r="M7" s="5"/>
      <c r="N7" s="5">
        <f>SUM(F7,H7,J7,L7)</f>
        <v>3</v>
      </c>
      <c r="O7" s="5">
        <f>(((F7*G7)+(H7*I7)+(J7*K7)+(L7*M7))/N7)</f>
        <v>0</v>
      </c>
      <c r="P7" s="5" t="str">
        <f>IF(O7 &gt;=12,"Validé","Non Validé")</f>
        <v>Non Validé</v>
      </c>
      <c r="Q7" s="14" t="s">
        <v>14</v>
      </c>
      <c r="R7" s="5"/>
    </row>
    <row r="8" spans="5:18" ht="20.25" x14ac:dyDescent="0.3">
      <c r="E8" s="5" t="s">
        <v>15</v>
      </c>
      <c r="F8" s="5">
        <v>0.75</v>
      </c>
      <c r="G8" s="5"/>
      <c r="H8" s="5">
        <v>1.25</v>
      </c>
      <c r="I8" s="5"/>
      <c r="J8" s="5">
        <v>2</v>
      </c>
      <c r="K8" s="5"/>
      <c r="L8" s="5">
        <v>1</v>
      </c>
      <c r="M8" s="5"/>
      <c r="N8" s="5">
        <f t="shared" ref="N8:N49" si="0">SUM(F8,H8,J8,L8)</f>
        <v>5</v>
      </c>
      <c r="O8" s="5">
        <f t="shared" ref="O8:O13" si="1">(((F8*G8)+(H8*I8)+(J8*K8)+(L8*M8))/N8)</f>
        <v>0</v>
      </c>
      <c r="P8" s="5" t="str">
        <f t="shared" ref="P8:P16" si="2">IF(O8 &gt;=12,"Validé","Non Validé")</f>
        <v>Non Validé</v>
      </c>
      <c r="Q8" s="15"/>
      <c r="R8" s="5"/>
    </row>
    <row r="9" spans="5:18" ht="20.25" x14ac:dyDescent="0.3">
      <c r="E9" s="5" t="s">
        <v>16</v>
      </c>
      <c r="F9" s="5">
        <v>1.5</v>
      </c>
      <c r="G9" s="5"/>
      <c r="H9" s="5">
        <v>2.5</v>
      </c>
      <c r="I9" s="5"/>
      <c r="J9" s="5">
        <v>3.5</v>
      </c>
      <c r="K9" s="5"/>
      <c r="L9" s="5">
        <v>1.5</v>
      </c>
      <c r="M9" s="5"/>
      <c r="N9" s="5">
        <f t="shared" si="0"/>
        <v>9</v>
      </c>
      <c r="O9" s="5">
        <f t="shared" si="1"/>
        <v>0</v>
      </c>
      <c r="P9" s="5" t="str">
        <f t="shared" si="2"/>
        <v>Non Validé</v>
      </c>
      <c r="Q9" s="15"/>
      <c r="R9" s="5"/>
    </row>
    <row r="10" spans="5:18" ht="20.25" x14ac:dyDescent="0.3">
      <c r="E10" s="5" t="s">
        <v>17</v>
      </c>
      <c r="F10" s="5">
        <v>1.5</v>
      </c>
      <c r="G10" s="5"/>
      <c r="H10" s="5">
        <v>2.5</v>
      </c>
      <c r="I10" s="5"/>
      <c r="J10" s="5">
        <v>3.5</v>
      </c>
      <c r="K10" s="5"/>
      <c r="L10" s="5">
        <v>1.5</v>
      </c>
      <c r="M10" s="5"/>
      <c r="N10" s="5">
        <f t="shared" si="0"/>
        <v>9</v>
      </c>
      <c r="O10" s="5">
        <f t="shared" si="1"/>
        <v>0</v>
      </c>
      <c r="P10" s="5" t="str">
        <f t="shared" si="2"/>
        <v>Non Validé</v>
      </c>
      <c r="Q10" s="15"/>
      <c r="R10" s="5"/>
    </row>
    <row r="11" spans="5:18" ht="20.25" x14ac:dyDescent="0.3">
      <c r="E11" s="5" t="s">
        <v>18</v>
      </c>
      <c r="F11" s="5">
        <v>1</v>
      </c>
      <c r="G11" s="5"/>
      <c r="H11" s="5">
        <v>1.5</v>
      </c>
      <c r="I11" s="5"/>
      <c r="J11" s="5">
        <v>2.5</v>
      </c>
      <c r="K11" s="5"/>
      <c r="L11" s="5"/>
      <c r="M11" s="5"/>
      <c r="N11" s="5">
        <f t="shared" si="0"/>
        <v>5</v>
      </c>
      <c r="O11" s="5">
        <f t="shared" si="1"/>
        <v>0</v>
      </c>
      <c r="P11" s="5" t="str">
        <f t="shared" si="2"/>
        <v>Non Validé</v>
      </c>
      <c r="Q11" s="15"/>
      <c r="R11" s="5"/>
    </row>
    <row r="12" spans="5:18" ht="20.25" x14ac:dyDescent="0.3">
      <c r="E12" s="5" t="s">
        <v>19</v>
      </c>
      <c r="F12" s="5">
        <v>0.5</v>
      </c>
      <c r="G12" s="5"/>
      <c r="H12" s="5">
        <v>1</v>
      </c>
      <c r="I12" s="5"/>
      <c r="J12" s="5">
        <v>1.5</v>
      </c>
      <c r="K12" s="5"/>
      <c r="L12" s="5"/>
      <c r="M12" s="5"/>
      <c r="N12" s="5">
        <f t="shared" si="0"/>
        <v>3</v>
      </c>
      <c r="O12" s="5">
        <f t="shared" si="1"/>
        <v>0</v>
      </c>
      <c r="P12" s="5" t="str">
        <f t="shared" si="2"/>
        <v>Non Validé</v>
      </c>
      <c r="Q12" s="15"/>
      <c r="R12" s="5"/>
    </row>
    <row r="13" spans="5:18" ht="20.25" x14ac:dyDescent="0.3">
      <c r="E13" s="5" t="s">
        <v>20</v>
      </c>
      <c r="F13" s="5"/>
      <c r="G13" s="5"/>
      <c r="H13" s="5"/>
      <c r="I13" s="5"/>
      <c r="J13" s="5">
        <v>1.5</v>
      </c>
      <c r="K13" s="5"/>
      <c r="L13" s="5">
        <v>1</v>
      </c>
      <c r="M13" s="5"/>
      <c r="N13" s="5">
        <f t="shared" si="0"/>
        <v>2.5</v>
      </c>
      <c r="O13" s="5">
        <f t="shared" si="1"/>
        <v>0</v>
      </c>
      <c r="P13" s="5" t="str">
        <f t="shared" si="2"/>
        <v>Non Validé</v>
      </c>
      <c r="Q13" s="7"/>
      <c r="R13" s="5"/>
    </row>
    <row r="14" spans="5:18" ht="20.25" x14ac:dyDescent="0.3">
      <c r="E14" s="16" t="s">
        <v>21</v>
      </c>
      <c r="F14" s="17"/>
      <c r="G14" s="17"/>
      <c r="H14" s="17"/>
      <c r="I14" s="17"/>
      <c r="J14" s="17"/>
      <c r="K14" s="17"/>
      <c r="L14" s="17"/>
      <c r="M14" s="17"/>
      <c r="N14" s="12"/>
      <c r="O14" s="12"/>
      <c r="P14" s="12"/>
      <c r="Q14" s="12"/>
      <c r="R14" s="13"/>
    </row>
    <row r="15" spans="5:18" ht="20.25" x14ac:dyDescent="0.3">
      <c r="E15" s="5" t="s">
        <v>22</v>
      </c>
      <c r="F15" s="5"/>
      <c r="G15" s="5"/>
      <c r="H15" s="5">
        <v>1.5</v>
      </c>
      <c r="I15" s="5"/>
      <c r="J15" s="5">
        <v>2.5</v>
      </c>
      <c r="K15" s="5"/>
      <c r="L15" s="5"/>
      <c r="M15" s="5"/>
      <c r="N15" s="5">
        <f t="shared" si="0"/>
        <v>4</v>
      </c>
      <c r="O15" s="5">
        <f t="shared" ref="O15:O16" si="3">(((F15*G15)+(H15*I15)+(J15*K15)+(L15*M15))/N15)</f>
        <v>0</v>
      </c>
      <c r="P15" s="5" t="str">
        <f t="shared" si="2"/>
        <v>Non Validé</v>
      </c>
      <c r="Q15" s="14" t="str">
        <f>IF(AVERAGE(O15,O16) &gt;=12,"Validé","Non Validé")</f>
        <v>Non Validé</v>
      </c>
      <c r="R15" s="5"/>
    </row>
    <row r="16" spans="5:18" ht="20.25" x14ac:dyDescent="0.3">
      <c r="E16" s="5" t="s">
        <v>23</v>
      </c>
      <c r="F16" s="5"/>
      <c r="G16" s="5"/>
      <c r="H16" s="5">
        <v>1</v>
      </c>
      <c r="I16" s="5"/>
      <c r="J16" s="5">
        <v>2</v>
      </c>
      <c r="K16" s="5"/>
      <c r="L16" s="5"/>
      <c r="M16" s="5"/>
      <c r="N16" s="5">
        <f t="shared" si="0"/>
        <v>3</v>
      </c>
      <c r="O16" s="5">
        <f t="shared" si="3"/>
        <v>0</v>
      </c>
      <c r="P16" s="5" t="str">
        <f t="shared" si="2"/>
        <v>Non Validé</v>
      </c>
      <c r="Q16" s="7"/>
      <c r="R16" s="5"/>
    </row>
    <row r="17" spans="5:18" ht="20.25" x14ac:dyDescent="0.3">
      <c r="E17" s="16" t="s">
        <v>24</v>
      </c>
      <c r="F17" s="17"/>
      <c r="G17" s="17"/>
      <c r="H17" s="17"/>
      <c r="I17" s="17"/>
      <c r="J17" s="17"/>
      <c r="K17" s="17"/>
      <c r="L17" s="17"/>
      <c r="M17" s="17"/>
      <c r="N17" s="12"/>
      <c r="O17" s="12"/>
      <c r="P17" s="12"/>
      <c r="Q17" s="12"/>
      <c r="R17" s="13"/>
    </row>
    <row r="18" spans="5:18" ht="20.25" x14ac:dyDescent="0.3">
      <c r="E18" s="5" t="s">
        <v>25</v>
      </c>
      <c r="F18" s="5"/>
      <c r="G18" s="5"/>
      <c r="H18" s="5">
        <v>0.75</v>
      </c>
      <c r="I18" s="5"/>
      <c r="J18" s="5">
        <v>1.5</v>
      </c>
      <c r="K18" s="5"/>
      <c r="L18" s="5">
        <v>0.75</v>
      </c>
      <c r="M18" s="5"/>
      <c r="N18" s="5">
        <f t="shared" si="0"/>
        <v>3</v>
      </c>
      <c r="O18" s="5">
        <f t="shared" ref="O18:O49" si="4">(((F18*G18)+(H18*I18)+(J18*K18)+(L18*M18))/N18)</f>
        <v>0</v>
      </c>
      <c r="P18" s="5" t="str">
        <f>IF(O18&gt;=10,"Validé","Non Validé")</f>
        <v>Non Validé</v>
      </c>
      <c r="Q18" s="14" t="s">
        <v>14</v>
      </c>
      <c r="R18" s="5"/>
    </row>
    <row r="19" spans="5:18" ht="20.25" x14ac:dyDescent="0.3">
      <c r="E19" s="5" t="s">
        <v>26</v>
      </c>
      <c r="F19" s="5"/>
      <c r="G19" s="5"/>
      <c r="H19" s="5">
        <v>1</v>
      </c>
      <c r="I19" s="5"/>
      <c r="J19" s="5">
        <v>2</v>
      </c>
      <c r="K19" s="5"/>
      <c r="L19" s="5"/>
      <c r="M19" s="5"/>
      <c r="N19" s="5">
        <f t="shared" si="0"/>
        <v>3</v>
      </c>
      <c r="O19" s="5">
        <f t="shared" si="4"/>
        <v>0</v>
      </c>
      <c r="P19" s="5" t="str">
        <f t="shared" ref="P19:P46" si="5">IF(O19&gt;=10,"Validé","Non Validé")</f>
        <v>Non Validé</v>
      </c>
      <c r="Q19" s="15"/>
      <c r="R19" s="5"/>
    </row>
    <row r="20" spans="5:18" ht="20.25" x14ac:dyDescent="0.3">
      <c r="E20" s="5" t="s">
        <v>27</v>
      </c>
      <c r="F20" s="5"/>
      <c r="G20" s="5"/>
      <c r="H20" s="5">
        <v>1</v>
      </c>
      <c r="I20" s="5"/>
      <c r="J20" s="5">
        <v>2</v>
      </c>
      <c r="K20" s="5"/>
      <c r="L20" s="5"/>
      <c r="M20" s="5"/>
      <c r="N20" s="5">
        <f t="shared" si="0"/>
        <v>3</v>
      </c>
      <c r="O20" s="5">
        <f t="shared" si="4"/>
        <v>0</v>
      </c>
      <c r="P20" s="5" t="str">
        <f t="shared" si="5"/>
        <v>Non Validé</v>
      </c>
      <c r="Q20" s="15"/>
      <c r="R20" s="5"/>
    </row>
    <row r="21" spans="5:18" ht="20.25" x14ac:dyDescent="0.3">
      <c r="E21" s="5" t="s">
        <v>28</v>
      </c>
      <c r="F21" s="5"/>
      <c r="G21" s="5"/>
      <c r="H21" s="5">
        <v>1</v>
      </c>
      <c r="I21" s="5"/>
      <c r="J21" s="5">
        <v>2</v>
      </c>
      <c r="K21" s="5"/>
      <c r="L21" s="5"/>
      <c r="M21" s="5"/>
      <c r="N21" s="5">
        <f t="shared" si="0"/>
        <v>3</v>
      </c>
      <c r="O21" s="5">
        <f t="shared" si="4"/>
        <v>0</v>
      </c>
      <c r="P21" s="5" t="str">
        <f t="shared" si="5"/>
        <v>Non Validé</v>
      </c>
      <c r="Q21" s="15"/>
      <c r="R21" s="5"/>
    </row>
    <row r="22" spans="5:18" ht="20.25" x14ac:dyDescent="0.3">
      <c r="E22" s="5" t="s">
        <v>29</v>
      </c>
      <c r="F22" s="5"/>
      <c r="G22" s="5"/>
      <c r="H22" s="5">
        <v>1</v>
      </c>
      <c r="I22" s="5"/>
      <c r="J22" s="5">
        <v>2</v>
      </c>
      <c r="K22" s="5"/>
      <c r="L22" s="5"/>
      <c r="M22" s="5"/>
      <c r="N22" s="5">
        <f t="shared" si="0"/>
        <v>3</v>
      </c>
      <c r="O22" s="5">
        <f t="shared" si="4"/>
        <v>0</v>
      </c>
      <c r="P22" s="5" t="str">
        <f t="shared" si="5"/>
        <v>Non Validé</v>
      </c>
      <c r="Q22" s="15"/>
      <c r="R22" s="5"/>
    </row>
    <row r="23" spans="5:18" ht="20.25" x14ac:dyDescent="0.3">
      <c r="E23" s="5" t="s">
        <v>30</v>
      </c>
      <c r="F23" s="5"/>
      <c r="G23" s="5"/>
      <c r="H23" s="5"/>
      <c r="I23" s="5"/>
      <c r="J23" s="5">
        <v>2</v>
      </c>
      <c r="K23" s="5"/>
      <c r="L23" s="5"/>
      <c r="M23" s="5"/>
      <c r="N23" s="5">
        <f t="shared" si="0"/>
        <v>2</v>
      </c>
      <c r="O23" s="5">
        <f t="shared" si="4"/>
        <v>0</v>
      </c>
      <c r="P23" s="5" t="str">
        <f t="shared" si="5"/>
        <v>Non Validé</v>
      </c>
      <c r="Q23" s="15"/>
      <c r="R23" s="5"/>
    </row>
    <row r="24" spans="5:18" ht="20.25" x14ac:dyDescent="0.3">
      <c r="E24" s="5" t="s">
        <v>31</v>
      </c>
      <c r="F24" s="5"/>
      <c r="G24" s="5"/>
      <c r="H24" s="5"/>
      <c r="I24" s="5"/>
      <c r="J24" s="5">
        <v>2</v>
      </c>
      <c r="K24" s="5"/>
      <c r="L24" s="5"/>
      <c r="M24" s="5"/>
      <c r="N24" s="5">
        <f t="shared" si="0"/>
        <v>2</v>
      </c>
      <c r="O24" s="5">
        <f t="shared" si="4"/>
        <v>0</v>
      </c>
      <c r="P24" s="5" t="str">
        <f t="shared" si="5"/>
        <v>Non Validé</v>
      </c>
      <c r="Q24" s="15"/>
      <c r="R24" s="5"/>
    </row>
    <row r="25" spans="5:18" ht="20.25" x14ac:dyDescent="0.3">
      <c r="E25" s="5" t="s">
        <v>32</v>
      </c>
      <c r="F25" s="5"/>
      <c r="G25" s="5"/>
      <c r="H25" s="5"/>
      <c r="I25" s="5"/>
      <c r="J25" s="5">
        <v>2</v>
      </c>
      <c r="K25" s="5"/>
      <c r="L25" s="5"/>
      <c r="M25" s="5"/>
      <c r="N25" s="5">
        <f t="shared" si="0"/>
        <v>2</v>
      </c>
      <c r="O25" s="5">
        <f t="shared" si="4"/>
        <v>0</v>
      </c>
      <c r="P25" s="5" t="str">
        <f t="shared" si="5"/>
        <v>Non Validé</v>
      </c>
      <c r="Q25" s="15"/>
      <c r="R25" s="5"/>
    </row>
    <row r="26" spans="5:18" ht="20.25" x14ac:dyDescent="0.3">
      <c r="E26" s="5" t="s">
        <v>33</v>
      </c>
      <c r="F26" s="5"/>
      <c r="G26" s="5"/>
      <c r="H26" s="5"/>
      <c r="I26" s="5"/>
      <c r="J26" s="5">
        <v>1</v>
      </c>
      <c r="K26" s="5"/>
      <c r="L26" s="5"/>
      <c r="M26" s="5"/>
      <c r="N26" s="5">
        <f t="shared" si="0"/>
        <v>1</v>
      </c>
      <c r="O26" s="5">
        <f t="shared" si="4"/>
        <v>0</v>
      </c>
      <c r="P26" s="5" t="str">
        <f t="shared" si="5"/>
        <v>Non Validé</v>
      </c>
      <c r="Q26" s="15"/>
      <c r="R26" s="5"/>
    </row>
    <row r="27" spans="5:18" ht="20.25" x14ac:dyDescent="0.3">
      <c r="E27" s="5" t="s">
        <v>34</v>
      </c>
      <c r="F27" s="5"/>
      <c r="G27" s="5"/>
      <c r="H27" s="5"/>
      <c r="I27" s="5"/>
      <c r="J27" s="5">
        <v>2</v>
      </c>
      <c r="K27" s="5"/>
      <c r="L27" s="5"/>
      <c r="M27" s="5"/>
      <c r="N27" s="5">
        <f t="shared" si="0"/>
        <v>2</v>
      </c>
      <c r="O27" s="5">
        <f t="shared" si="4"/>
        <v>0</v>
      </c>
      <c r="P27" s="5" t="str">
        <f t="shared" si="5"/>
        <v>Non Validé</v>
      </c>
      <c r="Q27" s="15"/>
      <c r="R27" s="5"/>
    </row>
    <row r="28" spans="5:18" ht="20.25" x14ac:dyDescent="0.3">
      <c r="E28" s="5" t="s">
        <v>35</v>
      </c>
      <c r="F28" s="5"/>
      <c r="G28" s="5"/>
      <c r="H28" s="5"/>
      <c r="I28" s="5"/>
      <c r="J28" s="5">
        <v>1</v>
      </c>
      <c r="K28" s="5"/>
      <c r="L28" s="5"/>
      <c r="M28" s="5"/>
      <c r="N28" s="5">
        <f t="shared" si="0"/>
        <v>1</v>
      </c>
      <c r="O28" s="5">
        <f t="shared" si="4"/>
        <v>0</v>
      </c>
      <c r="P28" s="5" t="str">
        <f t="shared" si="5"/>
        <v>Non Validé</v>
      </c>
      <c r="Q28" s="15"/>
      <c r="R28" s="5"/>
    </row>
    <row r="29" spans="5:18" ht="20.25" x14ac:dyDescent="0.3">
      <c r="E29" s="5" t="s">
        <v>36</v>
      </c>
      <c r="F29" s="5"/>
      <c r="G29" s="5"/>
      <c r="H29" s="5"/>
      <c r="I29" s="5"/>
      <c r="J29" s="5">
        <v>1</v>
      </c>
      <c r="K29" s="5"/>
      <c r="L29" s="5"/>
      <c r="M29" s="5"/>
      <c r="N29" s="5">
        <f t="shared" si="0"/>
        <v>1</v>
      </c>
      <c r="O29" s="5">
        <f t="shared" si="4"/>
        <v>0</v>
      </c>
      <c r="P29" s="5" t="str">
        <f t="shared" si="5"/>
        <v>Non Validé</v>
      </c>
      <c r="Q29" s="15"/>
      <c r="R29" s="5"/>
    </row>
    <row r="30" spans="5:18" ht="20.25" x14ac:dyDescent="0.3">
      <c r="E30" s="5" t="s">
        <v>37</v>
      </c>
      <c r="F30" s="5"/>
      <c r="G30" s="5"/>
      <c r="H30" s="5"/>
      <c r="I30" s="5"/>
      <c r="J30" s="5">
        <v>1</v>
      </c>
      <c r="K30" s="5"/>
      <c r="L30" s="5"/>
      <c r="M30" s="5"/>
      <c r="N30" s="5">
        <f t="shared" si="0"/>
        <v>1</v>
      </c>
      <c r="O30" s="5">
        <f t="shared" si="4"/>
        <v>0</v>
      </c>
      <c r="P30" s="5" t="str">
        <f t="shared" si="5"/>
        <v>Non Validé</v>
      </c>
      <c r="Q30" s="15"/>
      <c r="R30" s="5"/>
    </row>
    <row r="31" spans="5:18" ht="20.25" x14ac:dyDescent="0.3">
      <c r="E31" s="5" t="s">
        <v>38</v>
      </c>
      <c r="F31" s="5"/>
      <c r="G31" s="5"/>
      <c r="H31" s="5"/>
      <c r="I31" s="5"/>
      <c r="J31" s="5">
        <v>1</v>
      </c>
      <c r="K31" s="5"/>
      <c r="L31" s="5"/>
      <c r="M31" s="5"/>
      <c r="N31" s="5">
        <f t="shared" si="0"/>
        <v>1</v>
      </c>
      <c r="O31" s="5">
        <f t="shared" si="4"/>
        <v>0</v>
      </c>
      <c r="P31" s="5" t="str">
        <f t="shared" si="5"/>
        <v>Non Validé</v>
      </c>
      <c r="Q31" s="15"/>
      <c r="R31" s="5"/>
    </row>
    <row r="32" spans="5:18" ht="20.25" x14ac:dyDescent="0.3">
      <c r="E32" s="5" t="s">
        <v>39</v>
      </c>
      <c r="F32" s="5"/>
      <c r="G32" s="5"/>
      <c r="H32" s="5"/>
      <c r="I32" s="5"/>
      <c r="J32" s="5">
        <v>2</v>
      </c>
      <c r="K32" s="5"/>
      <c r="L32" s="5"/>
      <c r="M32" s="5"/>
      <c r="N32" s="5">
        <f t="shared" si="0"/>
        <v>2</v>
      </c>
      <c r="O32" s="5">
        <f t="shared" si="4"/>
        <v>0</v>
      </c>
      <c r="P32" s="5" t="str">
        <f t="shared" si="5"/>
        <v>Non Validé</v>
      </c>
      <c r="Q32" s="15"/>
      <c r="R32" s="5"/>
    </row>
    <row r="33" spans="5:18" ht="20.25" x14ac:dyDescent="0.3">
      <c r="E33" s="5" t="s">
        <v>40</v>
      </c>
      <c r="F33" s="5"/>
      <c r="G33" s="5"/>
      <c r="H33" s="5"/>
      <c r="I33" s="5"/>
      <c r="J33" s="5">
        <v>2</v>
      </c>
      <c r="K33" s="5"/>
      <c r="L33" s="5"/>
      <c r="M33" s="5"/>
      <c r="N33" s="5">
        <f t="shared" si="0"/>
        <v>2</v>
      </c>
      <c r="O33" s="5">
        <f t="shared" si="4"/>
        <v>0</v>
      </c>
      <c r="P33" s="5" t="str">
        <f t="shared" si="5"/>
        <v>Non Validé</v>
      </c>
      <c r="Q33" s="15"/>
      <c r="R33" s="5"/>
    </row>
    <row r="34" spans="5:18" ht="20.25" x14ac:dyDescent="0.3">
      <c r="E34" s="5" t="s">
        <v>41</v>
      </c>
      <c r="F34" s="5"/>
      <c r="G34" s="5"/>
      <c r="H34" s="5">
        <v>1</v>
      </c>
      <c r="I34" s="5"/>
      <c r="J34" s="5">
        <v>2</v>
      </c>
      <c r="K34" s="5"/>
      <c r="L34" s="5"/>
      <c r="M34" s="5"/>
      <c r="N34" s="5">
        <f t="shared" si="0"/>
        <v>3</v>
      </c>
      <c r="O34" s="5">
        <f t="shared" si="4"/>
        <v>0</v>
      </c>
      <c r="P34" s="5" t="str">
        <f t="shared" si="5"/>
        <v>Non Validé</v>
      </c>
      <c r="Q34" s="15"/>
      <c r="R34" s="5"/>
    </row>
    <row r="35" spans="5:18" ht="20.25" x14ac:dyDescent="0.3">
      <c r="E35" s="5" t="s">
        <v>42</v>
      </c>
      <c r="F35" s="5"/>
      <c r="G35" s="5"/>
      <c r="H35" s="5"/>
      <c r="I35" s="5"/>
      <c r="J35" s="5">
        <v>1</v>
      </c>
      <c r="K35" s="5"/>
      <c r="L35" s="5"/>
      <c r="M35" s="5"/>
      <c r="N35" s="5">
        <f t="shared" si="0"/>
        <v>1</v>
      </c>
      <c r="O35" s="5">
        <f t="shared" si="4"/>
        <v>0</v>
      </c>
      <c r="P35" s="5" t="str">
        <f t="shared" si="5"/>
        <v>Non Validé</v>
      </c>
      <c r="Q35" s="15"/>
      <c r="R35" s="5"/>
    </row>
    <row r="36" spans="5:18" ht="20.25" x14ac:dyDescent="0.3">
      <c r="E36" s="5" t="s">
        <v>43</v>
      </c>
      <c r="F36" s="5"/>
      <c r="G36" s="5"/>
      <c r="H36" s="5"/>
      <c r="I36" s="5"/>
      <c r="J36" s="5">
        <v>1</v>
      </c>
      <c r="K36" s="5"/>
      <c r="L36" s="5"/>
      <c r="M36" s="5"/>
      <c r="N36" s="5">
        <f t="shared" si="0"/>
        <v>1</v>
      </c>
      <c r="O36" s="5">
        <f t="shared" si="4"/>
        <v>0</v>
      </c>
      <c r="P36" s="5" t="str">
        <f t="shared" si="5"/>
        <v>Non Validé</v>
      </c>
      <c r="Q36" s="15"/>
      <c r="R36" s="5"/>
    </row>
    <row r="37" spans="5:18" ht="20.25" x14ac:dyDescent="0.3">
      <c r="E37" s="5" t="s">
        <v>44</v>
      </c>
      <c r="F37" s="5"/>
      <c r="G37" s="5"/>
      <c r="H37" s="5"/>
      <c r="I37" s="5"/>
      <c r="J37" s="5">
        <v>1</v>
      </c>
      <c r="K37" s="5"/>
      <c r="L37" s="5"/>
      <c r="M37" s="5"/>
      <c r="N37" s="5">
        <f t="shared" si="0"/>
        <v>1</v>
      </c>
      <c r="O37" s="5">
        <f t="shared" si="4"/>
        <v>0</v>
      </c>
      <c r="P37" s="5" t="str">
        <f t="shared" si="5"/>
        <v>Non Validé</v>
      </c>
      <c r="Q37" s="15"/>
      <c r="R37" s="5"/>
    </row>
    <row r="38" spans="5:18" ht="20.25" x14ac:dyDescent="0.3">
      <c r="E38" s="5" t="s">
        <v>45</v>
      </c>
      <c r="F38" s="5"/>
      <c r="G38" s="5"/>
      <c r="H38" s="5"/>
      <c r="I38" s="5"/>
      <c r="J38" s="5">
        <v>2</v>
      </c>
      <c r="K38" s="5"/>
      <c r="L38" s="5"/>
      <c r="M38" s="5"/>
      <c r="N38" s="5">
        <f t="shared" si="0"/>
        <v>2</v>
      </c>
      <c r="O38" s="5">
        <f t="shared" si="4"/>
        <v>0</v>
      </c>
      <c r="P38" s="5" t="str">
        <f t="shared" si="5"/>
        <v>Non Validé</v>
      </c>
      <c r="Q38" s="15"/>
      <c r="R38" s="5"/>
    </row>
    <row r="39" spans="5:18" ht="20.25" x14ac:dyDescent="0.3">
      <c r="E39" s="5" t="s">
        <v>46</v>
      </c>
      <c r="F39" s="5"/>
      <c r="G39" s="5"/>
      <c r="H39" s="5"/>
      <c r="I39" s="5"/>
      <c r="J39" s="5">
        <v>1</v>
      </c>
      <c r="K39" s="5"/>
      <c r="L39" s="5"/>
      <c r="M39" s="5"/>
      <c r="N39" s="5">
        <f t="shared" si="0"/>
        <v>1</v>
      </c>
      <c r="O39" s="5">
        <f t="shared" si="4"/>
        <v>0</v>
      </c>
      <c r="P39" s="5" t="str">
        <f t="shared" si="5"/>
        <v>Non Validé</v>
      </c>
      <c r="Q39" s="15"/>
      <c r="R39" s="5"/>
    </row>
    <row r="40" spans="5:18" ht="20.25" x14ac:dyDescent="0.3">
      <c r="E40" s="5" t="s">
        <v>47</v>
      </c>
      <c r="F40" s="5"/>
      <c r="G40" s="5"/>
      <c r="H40" s="5"/>
      <c r="I40" s="5"/>
      <c r="J40" s="5">
        <v>1</v>
      </c>
      <c r="K40" s="5"/>
      <c r="L40" s="5"/>
      <c r="M40" s="5"/>
      <c r="N40" s="5">
        <f t="shared" si="0"/>
        <v>1</v>
      </c>
      <c r="O40" s="5">
        <f t="shared" si="4"/>
        <v>0</v>
      </c>
      <c r="P40" s="5" t="str">
        <f t="shared" si="5"/>
        <v>Non Validé</v>
      </c>
      <c r="Q40" s="15"/>
      <c r="R40" s="5"/>
    </row>
    <row r="41" spans="5:18" ht="20.25" x14ac:dyDescent="0.3">
      <c r="E41" s="5" t="s">
        <v>48</v>
      </c>
      <c r="F41" s="5"/>
      <c r="G41" s="5"/>
      <c r="H41" s="5"/>
      <c r="I41" s="5"/>
      <c r="J41" s="5">
        <v>1</v>
      </c>
      <c r="K41" s="5"/>
      <c r="L41" s="5"/>
      <c r="M41" s="5"/>
      <c r="N41" s="5">
        <f t="shared" si="0"/>
        <v>1</v>
      </c>
      <c r="O41" s="5">
        <f t="shared" si="4"/>
        <v>0</v>
      </c>
      <c r="P41" s="5" t="str">
        <f t="shared" si="5"/>
        <v>Non Validé</v>
      </c>
      <c r="Q41" s="15"/>
      <c r="R41" s="5"/>
    </row>
    <row r="42" spans="5:18" ht="20.25" x14ac:dyDescent="0.3">
      <c r="E42" s="5" t="s">
        <v>49</v>
      </c>
      <c r="F42" s="5"/>
      <c r="G42" s="5"/>
      <c r="H42" s="5"/>
      <c r="I42" s="5"/>
      <c r="J42" s="5">
        <v>2</v>
      </c>
      <c r="K42" s="5"/>
      <c r="L42" s="5"/>
      <c r="M42" s="5"/>
      <c r="N42" s="5">
        <f t="shared" si="0"/>
        <v>2</v>
      </c>
      <c r="O42" s="5">
        <f>(((F42*G42)+(H42*I42)+(J42*K42)+(L42*M42))/N42)</f>
        <v>0</v>
      </c>
      <c r="P42" s="5" t="str">
        <f t="shared" si="5"/>
        <v>Non Validé</v>
      </c>
      <c r="Q42" s="15"/>
      <c r="R42" s="5"/>
    </row>
    <row r="43" spans="5:18" ht="20.25" x14ac:dyDescent="0.3">
      <c r="E43" s="5" t="s">
        <v>50</v>
      </c>
      <c r="F43" s="5"/>
      <c r="G43" s="5"/>
      <c r="H43" s="5"/>
      <c r="I43" s="5"/>
      <c r="J43" s="5">
        <v>1.5</v>
      </c>
      <c r="K43" s="5"/>
      <c r="L43" s="5"/>
      <c r="M43" s="5"/>
      <c r="N43" s="5">
        <f t="shared" si="0"/>
        <v>1.5</v>
      </c>
      <c r="O43" s="5">
        <f t="shared" si="4"/>
        <v>0</v>
      </c>
      <c r="P43" s="5" t="str">
        <f t="shared" si="5"/>
        <v>Non Validé</v>
      </c>
      <c r="Q43" s="15"/>
      <c r="R43" s="5"/>
    </row>
    <row r="44" spans="5:18" ht="20.25" x14ac:dyDescent="0.3">
      <c r="E44" s="5" t="s">
        <v>51</v>
      </c>
      <c r="F44" s="5"/>
      <c r="G44" s="5"/>
      <c r="H44" s="5"/>
      <c r="I44" s="5"/>
      <c r="J44" s="5">
        <v>1</v>
      </c>
      <c r="K44" s="5"/>
      <c r="L44" s="5"/>
      <c r="M44" s="5"/>
      <c r="N44" s="5">
        <f t="shared" si="0"/>
        <v>1</v>
      </c>
      <c r="O44" s="5">
        <f t="shared" si="4"/>
        <v>0</v>
      </c>
      <c r="P44" s="5" t="str">
        <f t="shared" si="5"/>
        <v>Non Validé</v>
      </c>
      <c r="Q44" s="15"/>
      <c r="R44" s="5"/>
    </row>
    <row r="45" spans="5:18" ht="20.25" x14ac:dyDescent="0.3">
      <c r="E45" s="5" t="s">
        <v>52</v>
      </c>
      <c r="F45" s="5"/>
      <c r="G45" s="5"/>
      <c r="H45" s="5"/>
      <c r="I45" s="5"/>
      <c r="J45" s="5">
        <v>3</v>
      </c>
      <c r="K45" s="5"/>
      <c r="L45" s="5"/>
      <c r="M45" s="5"/>
      <c r="N45" s="5">
        <f t="shared" si="0"/>
        <v>3</v>
      </c>
      <c r="O45" s="5">
        <f t="shared" si="4"/>
        <v>0</v>
      </c>
      <c r="P45" s="5" t="str">
        <f t="shared" si="5"/>
        <v>Non Validé</v>
      </c>
      <c r="Q45" s="15"/>
      <c r="R45" s="5"/>
    </row>
    <row r="46" spans="5:18" ht="20.25" x14ac:dyDescent="0.3">
      <c r="E46" s="5" t="s">
        <v>53</v>
      </c>
      <c r="F46" s="5"/>
      <c r="G46" s="5"/>
      <c r="H46" s="5"/>
      <c r="I46" s="5"/>
      <c r="J46" s="5">
        <v>2</v>
      </c>
      <c r="K46" s="5"/>
      <c r="L46" s="5"/>
      <c r="M46" s="5"/>
      <c r="N46" s="5">
        <f t="shared" si="0"/>
        <v>2</v>
      </c>
      <c r="O46" s="5">
        <f t="shared" si="4"/>
        <v>0</v>
      </c>
      <c r="P46" s="5" t="str">
        <f t="shared" si="5"/>
        <v>Non Validé</v>
      </c>
      <c r="Q46" s="7"/>
      <c r="R46" s="5"/>
    </row>
    <row r="47" spans="5:18" ht="20.25" x14ac:dyDescent="0.3">
      <c r="E47" s="16" t="s">
        <v>54</v>
      </c>
      <c r="F47" s="17"/>
      <c r="G47" s="17"/>
      <c r="H47" s="17"/>
      <c r="I47" s="17"/>
      <c r="J47" s="17"/>
      <c r="K47" s="17"/>
      <c r="L47" s="17"/>
      <c r="M47" s="17"/>
      <c r="N47" s="12"/>
      <c r="O47" s="12"/>
      <c r="P47" s="12"/>
      <c r="Q47" s="12"/>
      <c r="R47" s="13"/>
    </row>
    <row r="48" spans="5:18" ht="20.25" x14ac:dyDescent="0.3">
      <c r="E48" s="5" t="s">
        <v>55</v>
      </c>
      <c r="F48" s="5">
        <v>0.33</v>
      </c>
      <c r="G48" s="5"/>
      <c r="H48" s="5">
        <v>0.33</v>
      </c>
      <c r="I48" s="5"/>
      <c r="J48" s="5">
        <v>0.34</v>
      </c>
      <c r="K48" s="5"/>
      <c r="L48" s="5"/>
      <c r="M48" s="5"/>
      <c r="N48" s="5">
        <f t="shared" si="0"/>
        <v>1</v>
      </c>
      <c r="O48" s="5">
        <f t="shared" si="4"/>
        <v>0</v>
      </c>
      <c r="P48" s="5" t="str">
        <f>IF(O48&gt;=10,"Validé","Non Validé")</f>
        <v>Non Validé</v>
      </c>
      <c r="Q48" s="14" t="s">
        <v>14</v>
      </c>
      <c r="R48" s="5"/>
    </row>
    <row r="49" spans="5:18" ht="20.25" x14ac:dyDescent="0.3">
      <c r="E49" s="5" t="s">
        <v>56</v>
      </c>
      <c r="F49" s="5">
        <v>1</v>
      </c>
      <c r="G49" s="5"/>
      <c r="H49" s="5">
        <v>1</v>
      </c>
      <c r="I49" s="5"/>
      <c r="J49" s="5">
        <v>1</v>
      </c>
      <c r="K49" s="5"/>
      <c r="L49" s="5"/>
      <c r="M49" s="5"/>
      <c r="N49" s="5">
        <f t="shared" si="0"/>
        <v>3</v>
      </c>
      <c r="O49" s="5">
        <f t="shared" si="4"/>
        <v>0</v>
      </c>
      <c r="P49" s="5" t="str">
        <f>IF(O49&gt;=10,"Validé","Non Validé")</f>
        <v>Non Validé</v>
      </c>
      <c r="Q49" s="7"/>
      <c r="R49" s="5"/>
    </row>
    <row r="50" spans="5:18" ht="20.25" x14ac:dyDescent="0.3">
      <c r="E50" s="18" t="s">
        <v>57</v>
      </c>
      <c r="F50" s="19"/>
      <c r="G50" s="19"/>
      <c r="H50" s="19"/>
      <c r="I50" s="19"/>
      <c r="J50" s="19"/>
      <c r="K50" s="19"/>
      <c r="L50" s="19"/>
      <c r="M50" s="19"/>
      <c r="N50" s="19"/>
      <c r="O50" s="20" t="e">
        <f>AVERAGEIF(O7:O49,"&lt;&gt;0")</f>
        <v>#DIV/0!</v>
      </c>
      <c r="P50" s="16" t="str">
        <f>IF(OR(P7="Non Validé",P8="Non Validé",P9="Non Validé",P10="Non Validé",P11="Non Validé",P12="Non Validé",P13="Non Validé",P15="Non Validé",P16="Non Validé",P18="Non Validé",P19="Non Validé",P20="Non Validé",P21="Non Validé",P22="Non Validé",P23="Non Validé",P24="Non Validé",P25="Non Validé",P26="Non Validé",P27="Non Validé",P28="Non Validé",P29="Non Validé",P30="Non Validé",P31="Non Validé",P32="Non Validé",P33="Non Validé",P34="Non Validé",P35="Non Validé",P36="Non Validé",P37="Non Validé",P38="Non Validé",P39="Non Validé",P40="Non Validé",P41="Non Validé",P42="Non Validé",P43="Non Validé",P44="Non Validé",P45="Non Validé",P46="Non Validé",P48="Non Validé",P49="Non Validé"),"Passe en rappel","Année Validée")</f>
        <v>Passe en rappel</v>
      </c>
      <c r="Q50" s="21"/>
      <c r="R50" s="5"/>
    </row>
  </sheetData>
  <mergeCells count="20">
    <mergeCell ref="Q18:Q46"/>
    <mergeCell ref="E47:R47"/>
    <mergeCell ref="Q48:Q49"/>
    <mergeCell ref="E50:N50"/>
    <mergeCell ref="P50:Q50"/>
    <mergeCell ref="O4:O5"/>
    <mergeCell ref="P4:P5"/>
    <mergeCell ref="Q4:Q5"/>
    <mergeCell ref="R4:R5"/>
    <mergeCell ref="E6:R6"/>
    <mergeCell ref="Q7:Q13"/>
    <mergeCell ref="E4:E5"/>
    <mergeCell ref="F4:G4"/>
    <mergeCell ref="H4:I4"/>
    <mergeCell ref="J4:K4"/>
    <mergeCell ref="L4:M4"/>
    <mergeCell ref="E14:R14"/>
    <mergeCell ref="Q15:Q16"/>
    <mergeCell ref="E17:R17"/>
    <mergeCell ref="N4:N5"/>
  </mergeCells>
  <conditionalFormatting sqref="O7:O13 O15:O16">
    <cfRule type="cellIs" dxfId="6" priority="6" operator="greaterThanOrEqual">
      <formula>12</formula>
    </cfRule>
    <cfRule type="cellIs" dxfId="5" priority="7" operator="lessThan">
      <formula>12</formula>
    </cfRule>
  </conditionalFormatting>
  <conditionalFormatting sqref="O18:O46 O48:O49">
    <cfRule type="cellIs" dxfId="4" priority="4" operator="greaterThanOrEqual">
      <formula>10</formula>
    </cfRule>
    <cfRule type="cellIs" dxfId="3" priority="5" operator="lessThan">
      <formula>10</formula>
    </cfRule>
  </conditionalFormatting>
  <conditionalFormatting sqref="O50">
    <cfRule type="cellIs" dxfId="2" priority="1" operator="greaterThanOrEqual">
      <formula>12</formula>
    </cfRule>
  </conditionalFormatting>
  <conditionalFormatting sqref="P50:Q50">
    <cfRule type="containsText" dxfId="1" priority="2" operator="containsText" text="Année Validée">
      <formula>NOT(ISERROR(SEARCH("Année Validée",P50)))</formula>
    </cfRule>
    <cfRule type="containsText" dxfId="0" priority="3" operator="containsText" text="Passe en rappel">
      <formula>NOT(ISERROR(SEARCH("Passe en rappel",P50)))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Assekampa Gedeon AYENA</dc:creator>
  <cp:lastModifiedBy>Assekampa Gedeon AYENA</cp:lastModifiedBy>
  <dcterms:created xsi:type="dcterms:W3CDTF">2026-08-06T10:10:33Z</dcterms:created>
  <dcterms:modified xsi:type="dcterms:W3CDTF">2026-08-06T10:13:58Z</dcterms:modified>
</cp:coreProperties>
</file>